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laut\Desktop\RPi\Sterownik Nawadniania - Raspberry Pi Refactor\hardware\"/>
    </mc:Choice>
  </mc:AlternateContent>
  <xr:revisionPtr revIDLastSave="0" documentId="13_ncr:1_{86D984FE-BE6D-40D1-84A6-DF382D8C832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6" i="1"/>
  <c r="J8" i="1"/>
  <c r="J9" i="1"/>
  <c r="J10" i="1"/>
  <c r="J11" i="1"/>
  <c r="J12" i="1"/>
  <c r="J13" i="1"/>
  <c r="J14" i="1"/>
  <c r="J15" i="1"/>
  <c r="J3" i="1"/>
  <c r="J4" i="1"/>
  <c r="J5" i="1"/>
  <c r="J6" i="1"/>
  <c r="J7" i="1"/>
  <c r="J2" i="1"/>
</calcChain>
</file>

<file path=xl/sharedStrings.xml><?xml version="1.0" encoding="utf-8"?>
<sst xmlns="http://schemas.openxmlformats.org/spreadsheetml/2006/main" count="96" uniqueCount="65">
  <si>
    <t>Item</t>
  </si>
  <si>
    <t>Part Name</t>
  </si>
  <si>
    <t>Description / Specification</t>
  </si>
  <si>
    <t>Qty</t>
  </si>
  <si>
    <t>UoM</t>
  </si>
  <si>
    <t>Supplier</t>
  </si>
  <si>
    <t>Supplier P/N</t>
  </si>
  <si>
    <t>Lead Time (days)</t>
  </si>
  <si>
    <t>Unit Price</t>
  </si>
  <si>
    <t>Ext. Cost</t>
  </si>
  <si>
    <t>Notes</t>
  </si>
  <si>
    <t>pcs</t>
  </si>
  <si>
    <t>Botland</t>
  </si>
  <si>
    <t>RPI-08330</t>
  </si>
  <si>
    <t>Raspberry Pi Zero</t>
  </si>
  <si>
    <t>SD Card</t>
  </si>
  <si>
    <t>Memory</t>
  </si>
  <si>
    <t>KAP-02123</t>
  </si>
  <si>
    <t>Relays Module</t>
  </si>
  <si>
    <t>Switching equipment</t>
  </si>
  <si>
    <t>MOD-02357</t>
  </si>
  <si>
    <t>Wiring</t>
  </si>
  <si>
    <t>JUS-19948</t>
  </si>
  <si>
    <t>JUS-19949</t>
  </si>
  <si>
    <t>JUS-19622</t>
  </si>
  <si>
    <t>ABS hermetic box</t>
  </si>
  <si>
    <t>Housing</t>
  </si>
  <si>
    <t>Speckable</t>
  </si>
  <si>
    <t>71.0638</t>
  </si>
  <si>
    <t>packs</t>
  </si>
  <si>
    <t>Connector</t>
  </si>
  <si>
    <t>73.2403</t>
  </si>
  <si>
    <t>Male-male cables</t>
  </si>
  <si>
    <t>Female-male cables</t>
  </si>
  <si>
    <t>Surface-mounted distribution board</t>
  </si>
  <si>
    <t>Power relay</t>
  </si>
  <si>
    <t>Transformer TRM-24</t>
  </si>
  <si>
    <t>Power transformer</t>
  </si>
  <si>
    <t>Isolator switch</t>
  </si>
  <si>
    <t>Modular contactor EZCT-20-20-230</t>
  </si>
  <si>
    <t>YKY 3x2.5mm2 wire</t>
  </si>
  <si>
    <t>02.0143</t>
  </si>
  <si>
    <t>Mount gear</t>
  </si>
  <si>
    <t>Allegro</t>
  </si>
  <si>
    <t>M2.5 standoffs with screws and nuts</t>
  </si>
  <si>
    <t>Single-board computer</t>
  </si>
  <si>
    <t>Female-female cables</t>
  </si>
  <si>
    <t>Kaczmarek electric</t>
  </si>
  <si>
    <t>Modular isolator switch SBN225 Hager</t>
  </si>
  <si>
    <t>m</t>
  </si>
  <si>
    <t>5V/2.5A power adapter</t>
  </si>
  <si>
    <t>Power adapter</t>
  </si>
  <si>
    <t>SHR-14515</t>
  </si>
  <si>
    <t>Overcurrent protection provided by home installation</t>
  </si>
  <si>
    <t>PG11 hermetic connector</t>
  </si>
  <si>
    <t>70.0616</t>
  </si>
  <si>
    <t>Signal wiring</t>
  </si>
  <si>
    <t>JZ-500 signal cable 7x1mm2</t>
  </si>
  <si>
    <t>03.0408</t>
  </si>
  <si>
    <t>Additional wire in case of fault</t>
  </si>
  <si>
    <t>Raspberry Pi needs stable 5V to not do micro restarts</t>
  </si>
  <si>
    <t>Can put them in the ground to connect pump</t>
  </si>
  <si>
    <t>Controllable valves</t>
  </si>
  <si>
    <t>5 Hunter PGV electrovalves + filter</t>
  </si>
  <si>
    <t>This does not include cost of irrigation equipment and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</si>
</sst>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sz val="10"/>
      <color rgb="FF231F2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NumberForma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</cellXfs>
  <cellStyles count="2">
    <cellStyle name="Normalny" xfId="0" builtinId="0"/>
    <cellStyle name="Normalny 2" xfId="1" xr:uid="{1CA23C9C-1615-4203-B38E-DCE51C3EE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9473A9-3E03-49CF-93A8-347A0D4331E1}">
  <we:reference id="wa200005502" version="1.0.0.11" store="pl-PL" storeType="OMEX"/>
  <we:alternateReferences>
    <we:reference id="WA200005502" version="1.0.0.11" store="" storeType="OMEX"/>
  </we:alternateReferences>
  <we:properties>
    <we:property name="docId" value="&quot;0Fm6mybNSC2rC-YNLPa32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75" zoomScaleNormal="175" workbookViewId="0">
      <selection activeCell="F13" sqref="F13"/>
    </sheetView>
  </sheetViews>
  <sheetFormatPr defaultRowHeight="15" x14ac:dyDescent="0.25"/>
  <cols>
    <col min="2" max="2" width="34.5703125" bestFit="1" customWidth="1"/>
    <col min="3" max="3" width="21.7109375" bestFit="1" customWidth="1"/>
    <col min="5" max="5" width="11.5703125" customWidth="1"/>
    <col min="6" max="6" width="17.7109375" bestFit="1" customWidth="1"/>
    <col min="7" max="7" width="12.5703125" bestFit="1" customWidth="1"/>
    <col min="11" max="11" width="55.42578125" bestFit="1" customWidth="1"/>
  </cols>
  <sheetData>
    <row r="1" spans="1:1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14</v>
      </c>
      <c r="C2" s="2" t="s">
        <v>45</v>
      </c>
      <c r="D2" s="2">
        <v>1</v>
      </c>
      <c r="E2" s="2" t="s">
        <v>11</v>
      </c>
      <c r="F2" s="2" t="s">
        <v>12</v>
      </c>
      <c r="G2" s="6" t="s">
        <v>13</v>
      </c>
      <c r="H2" s="2">
        <v>3</v>
      </c>
      <c r="I2" s="2">
        <v>69.900000000000006</v>
      </c>
      <c r="J2" s="2">
        <f>IF(COUNT(D2,I2)=2,D2*I2,"")</f>
        <v>69.900000000000006</v>
      </c>
      <c r="K2" s="2"/>
    </row>
    <row r="3" spans="1:11" x14ac:dyDescent="0.25">
      <c r="A3" s="2">
        <v>2</v>
      </c>
      <c r="B3" s="2" t="s">
        <v>15</v>
      </c>
      <c r="C3" s="2" t="s">
        <v>16</v>
      </c>
      <c r="D3" s="2">
        <v>1</v>
      </c>
      <c r="E3" s="2" t="s">
        <v>11</v>
      </c>
      <c r="F3" s="2" t="s">
        <v>12</v>
      </c>
      <c r="G3" s="6" t="s">
        <v>17</v>
      </c>
      <c r="H3" s="2">
        <v>3</v>
      </c>
      <c r="I3" s="2">
        <v>18</v>
      </c>
      <c r="J3" s="2">
        <f t="shared" ref="J3:J21" si="0">IF(COUNT(D3,I3)=2,D3*I3,"")</f>
        <v>18</v>
      </c>
      <c r="K3" s="2"/>
    </row>
    <row r="4" spans="1:11" x14ac:dyDescent="0.25">
      <c r="A4" s="2">
        <v>3</v>
      </c>
      <c r="B4" s="2" t="s">
        <v>18</v>
      </c>
      <c r="C4" s="2" t="s">
        <v>19</v>
      </c>
      <c r="D4" s="2">
        <v>1</v>
      </c>
      <c r="E4" s="2" t="s">
        <v>11</v>
      </c>
      <c r="F4" s="2" t="s">
        <v>12</v>
      </c>
      <c r="G4" s="6" t="s">
        <v>20</v>
      </c>
      <c r="H4" s="2">
        <v>3</v>
      </c>
      <c r="I4" s="2">
        <v>36.9</v>
      </c>
      <c r="J4" s="2">
        <f t="shared" si="0"/>
        <v>36.9</v>
      </c>
      <c r="K4" s="2"/>
    </row>
    <row r="5" spans="1:11" x14ac:dyDescent="0.25">
      <c r="A5" s="2">
        <v>4</v>
      </c>
      <c r="B5" s="2" t="s">
        <v>46</v>
      </c>
      <c r="C5" s="2" t="s">
        <v>21</v>
      </c>
      <c r="D5" s="2">
        <v>1</v>
      </c>
      <c r="E5" s="2" t="s">
        <v>29</v>
      </c>
      <c r="F5" s="2" t="s">
        <v>12</v>
      </c>
      <c r="G5" s="6" t="s">
        <v>22</v>
      </c>
      <c r="H5" s="2">
        <v>3</v>
      </c>
      <c r="I5" s="2">
        <v>4.99</v>
      </c>
      <c r="J5" s="2">
        <f t="shared" si="0"/>
        <v>4.99</v>
      </c>
      <c r="K5" s="2"/>
    </row>
    <row r="6" spans="1:11" x14ac:dyDescent="0.25">
      <c r="A6" s="2">
        <v>5</v>
      </c>
      <c r="B6" s="2" t="s">
        <v>33</v>
      </c>
      <c r="C6" s="2" t="s">
        <v>21</v>
      </c>
      <c r="D6" s="2">
        <v>1</v>
      </c>
      <c r="E6" s="2" t="s">
        <v>29</v>
      </c>
      <c r="F6" s="2" t="s">
        <v>12</v>
      </c>
      <c r="G6" s="6" t="s">
        <v>23</v>
      </c>
      <c r="H6" s="2">
        <v>3</v>
      </c>
      <c r="I6" s="2">
        <v>5.4</v>
      </c>
      <c r="J6" s="2">
        <f t="shared" si="0"/>
        <v>5.4</v>
      </c>
      <c r="K6" s="2"/>
    </row>
    <row r="7" spans="1:11" x14ac:dyDescent="0.25">
      <c r="A7" s="2">
        <v>6</v>
      </c>
      <c r="B7" s="2" t="s">
        <v>32</v>
      </c>
      <c r="C7" s="2" t="s">
        <v>21</v>
      </c>
      <c r="D7" s="2">
        <v>1</v>
      </c>
      <c r="E7" s="2" t="s">
        <v>29</v>
      </c>
      <c r="F7" s="2" t="s">
        <v>12</v>
      </c>
      <c r="G7" s="6" t="s">
        <v>24</v>
      </c>
      <c r="H7" s="2">
        <v>3</v>
      </c>
      <c r="I7" s="2">
        <v>6.5</v>
      </c>
      <c r="J7" s="2">
        <f t="shared" si="0"/>
        <v>6.5</v>
      </c>
      <c r="K7" s="2"/>
    </row>
    <row r="8" spans="1:11" x14ac:dyDescent="0.25">
      <c r="A8" s="3">
        <v>7</v>
      </c>
      <c r="B8" s="2" t="s">
        <v>25</v>
      </c>
      <c r="C8" s="2" t="s">
        <v>26</v>
      </c>
      <c r="D8" s="2">
        <v>1</v>
      </c>
      <c r="E8" s="2" t="s">
        <v>11</v>
      </c>
      <c r="F8" s="2" t="s">
        <v>27</v>
      </c>
      <c r="G8" s="4" t="s">
        <v>28</v>
      </c>
      <c r="H8" s="2">
        <v>5</v>
      </c>
      <c r="I8" s="2">
        <v>68.569999999999993</v>
      </c>
      <c r="J8" s="2">
        <f t="shared" si="0"/>
        <v>68.569999999999993</v>
      </c>
      <c r="K8" s="2"/>
    </row>
    <row r="9" spans="1:11" x14ac:dyDescent="0.25">
      <c r="A9" s="2">
        <v>8</v>
      </c>
      <c r="B9" s="2" t="s">
        <v>54</v>
      </c>
      <c r="C9" s="2" t="s">
        <v>30</v>
      </c>
      <c r="D9" s="2">
        <v>10</v>
      </c>
      <c r="E9" s="2" t="s">
        <v>11</v>
      </c>
      <c r="F9" s="2" t="s">
        <v>27</v>
      </c>
      <c r="G9" s="6" t="s">
        <v>55</v>
      </c>
      <c r="H9" s="2">
        <v>5</v>
      </c>
      <c r="I9" s="2">
        <v>1.88</v>
      </c>
      <c r="J9" s="2">
        <f t="shared" si="0"/>
        <v>18.799999999999997</v>
      </c>
      <c r="K9" s="2"/>
    </row>
    <row r="10" spans="1:11" x14ac:dyDescent="0.25">
      <c r="A10" s="2">
        <v>9</v>
      </c>
      <c r="B10" t="s">
        <v>34</v>
      </c>
      <c r="C10" s="2" t="s">
        <v>26</v>
      </c>
      <c r="D10" s="2">
        <v>1</v>
      </c>
      <c r="E10" s="2" t="s">
        <v>11</v>
      </c>
      <c r="F10" s="2" t="s">
        <v>27</v>
      </c>
      <c r="G10" s="6" t="s">
        <v>31</v>
      </c>
      <c r="H10" s="2">
        <v>5</v>
      </c>
      <c r="I10" s="2">
        <v>35</v>
      </c>
      <c r="J10" s="2">
        <f t="shared" si="0"/>
        <v>35</v>
      </c>
      <c r="K10" s="2"/>
    </row>
    <row r="11" spans="1:11" x14ac:dyDescent="0.25">
      <c r="A11" s="2">
        <v>10</v>
      </c>
      <c r="B11" s="2" t="s">
        <v>39</v>
      </c>
      <c r="C11" s="2" t="s">
        <v>35</v>
      </c>
      <c r="D11" s="2">
        <v>1</v>
      </c>
      <c r="E11" s="2" t="s">
        <v>11</v>
      </c>
      <c r="F11" s="2" t="s">
        <v>47</v>
      </c>
      <c r="G11" s="5">
        <v>2050968</v>
      </c>
      <c r="H11" s="2">
        <v>3</v>
      </c>
      <c r="I11" s="2">
        <v>82.11</v>
      </c>
      <c r="J11" s="2">
        <f t="shared" si="0"/>
        <v>82.11</v>
      </c>
      <c r="K11" s="2"/>
    </row>
    <row r="12" spans="1:11" x14ac:dyDescent="0.25">
      <c r="A12" s="2">
        <v>11</v>
      </c>
      <c r="B12" s="2" t="s">
        <v>36</v>
      </c>
      <c r="C12" s="2" t="s">
        <v>37</v>
      </c>
      <c r="D12" s="2">
        <v>1</v>
      </c>
      <c r="E12" s="2" t="s">
        <v>11</v>
      </c>
      <c r="F12" s="2" t="s">
        <v>47</v>
      </c>
      <c r="G12" s="6">
        <v>1095783</v>
      </c>
      <c r="H12" s="2">
        <v>3</v>
      </c>
      <c r="I12" s="2">
        <v>91.87</v>
      </c>
      <c r="J12" s="2">
        <f t="shared" si="0"/>
        <v>91.87</v>
      </c>
      <c r="K12" s="2"/>
    </row>
    <row r="13" spans="1:11" x14ac:dyDescent="0.25">
      <c r="A13" s="3">
        <v>12</v>
      </c>
      <c r="B13" s="2" t="s">
        <v>48</v>
      </c>
      <c r="C13" s="2" t="s">
        <v>38</v>
      </c>
      <c r="D13" s="2">
        <v>1</v>
      </c>
      <c r="E13" s="2" t="s">
        <v>11</v>
      </c>
      <c r="F13" s="2" t="s">
        <v>47</v>
      </c>
      <c r="G13" s="6">
        <v>1039102</v>
      </c>
      <c r="H13" s="2">
        <v>3</v>
      </c>
      <c r="I13" s="2">
        <v>65.180000000000007</v>
      </c>
      <c r="J13" s="2">
        <f t="shared" si="0"/>
        <v>65.180000000000007</v>
      </c>
      <c r="K13" s="2" t="s">
        <v>53</v>
      </c>
    </row>
    <row r="14" spans="1:11" x14ac:dyDescent="0.25">
      <c r="A14" s="2">
        <v>13</v>
      </c>
      <c r="B14" s="2" t="s">
        <v>40</v>
      </c>
      <c r="C14" s="2" t="s">
        <v>21</v>
      </c>
      <c r="D14" s="2">
        <v>15</v>
      </c>
      <c r="E14" s="2" t="s">
        <v>49</v>
      </c>
      <c r="F14" s="2" t="s">
        <v>27</v>
      </c>
      <c r="G14" s="6" t="s">
        <v>41</v>
      </c>
      <c r="H14" s="2">
        <v>5</v>
      </c>
      <c r="I14" s="2">
        <v>6.15</v>
      </c>
      <c r="J14" s="2">
        <f t="shared" si="0"/>
        <v>92.25</v>
      </c>
      <c r="K14" s="2" t="s">
        <v>61</v>
      </c>
    </row>
    <row r="15" spans="1:11" x14ac:dyDescent="0.25">
      <c r="A15" s="7">
        <v>14</v>
      </c>
      <c r="B15" s="7" t="s">
        <v>44</v>
      </c>
      <c r="C15" s="7" t="s">
        <v>42</v>
      </c>
      <c r="D15" s="7">
        <v>1</v>
      </c>
      <c r="E15" s="7" t="s">
        <v>29</v>
      </c>
      <c r="F15" s="7" t="s">
        <v>43</v>
      </c>
      <c r="G15" s="8">
        <v>17151927517</v>
      </c>
      <c r="H15" s="7">
        <v>2</v>
      </c>
      <c r="I15" s="7">
        <v>43.9</v>
      </c>
      <c r="J15" s="7">
        <f t="shared" si="0"/>
        <v>43.9</v>
      </c>
      <c r="K15" s="7"/>
    </row>
    <row r="16" spans="1:11" x14ac:dyDescent="0.25">
      <c r="A16" s="2">
        <v>15</v>
      </c>
      <c r="B16" s="2" t="s">
        <v>50</v>
      </c>
      <c r="C16" s="2" t="s">
        <v>51</v>
      </c>
      <c r="D16" s="2">
        <v>1</v>
      </c>
      <c r="E16" s="2" t="s">
        <v>11</v>
      </c>
      <c r="F16" s="2" t="s">
        <v>12</v>
      </c>
      <c r="G16" s="6" t="s">
        <v>52</v>
      </c>
      <c r="H16" s="2">
        <v>3</v>
      </c>
      <c r="I16" s="2">
        <v>23.9</v>
      </c>
      <c r="J16" s="2">
        <f t="shared" si="0"/>
        <v>23.9</v>
      </c>
      <c r="K16" s="2" t="s">
        <v>60</v>
      </c>
    </row>
    <row r="17" spans="1:11" x14ac:dyDescent="0.25">
      <c r="A17" s="3">
        <v>16</v>
      </c>
      <c r="B17" s="3" t="s">
        <v>57</v>
      </c>
      <c r="C17" s="3" t="s">
        <v>56</v>
      </c>
      <c r="D17" s="3">
        <v>8</v>
      </c>
      <c r="E17" s="3" t="s">
        <v>49</v>
      </c>
      <c r="F17" s="3" t="s">
        <v>27</v>
      </c>
      <c r="G17" s="6" t="s">
        <v>58</v>
      </c>
      <c r="H17" s="3">
        <v>5</v>
      </c>
      <c r="I17" s="3">
        <v>10.220000000000001</v>
      </c>
      <c r="J17" s="3">
        <f t="shared" si="0"/>
        <v>81.760000000000005</v>
      </c>
      <c r="K17" s="2" t="s">
        <v>59</v>
      </c>
    </row>
    <row r="18" spans="1:11" x14ac:dyDescent="0.25">
      <c r="A18" s="3">
        <v>17</v>
      </c>
      <c r="B18" s="3" t="s">
        <v>63</v>
      </c>
      <c r="C18" s="3" t="s">
        <v>62</v>
      </c>
      <c r="D18" s="3">
        <v>1</v>
      </c>
      <c r="E18" s="3" t="s">
        <v>29</v>
      </c>
      <c r="F18" s="3" t="s">
        <v>43</v>
      </c>
      <c r="G18" s="6">
        <v>17178203919</v>
      </c>
      <c r="H18" s="3">
        <v>2</v>
      </c>
      <c r="I18" s="3">
        <v>589.99</v>
      </c>
      <c r="J18" s="3">
        <f t="shared" si="0"/>
        <v>589.99</v>
      </c>
      <c r="K18" s="2" t="s">
        <v>64</v>
      </c>
    </row>
    <row r="19" spans="1:11" x14ac:dyDescent="0.25">
      <c r="A19" s="9"/>
      <c r="B19" s="9"/>
      <c r="C19" s="9"/>
      <c r="D19" s="9"/>
      <c r="E19" s="9"/>
      <c r="F19" s="9"/>
      <c r="G19" s="10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10"/>
      <c r="H20" s="9"/>
      <c r="I20" s="9"/>
      <c r="J20" s="9"/>
      <c r="K20" s="9"/>
    </row>
    <row r="21" spans="1:11" x14ac:dyDescent="0.25">
      <c r="A21" s="9"/>
      <c r="B21" s="9"/>
      <c r="C21" s="9"/>
      <c r="D21" s="9"/>
      <c r="E21" s="9"/>
      <c r="F21" s="9"/>
      <c r="G21" s="10"/>
      <c r="H21" s="9"/>
      <c r="I21" s="9"/>
      <c r="J21" s="9"/>
      <c r="K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Błaut</dc:creator>
  <cp:lastModifiedBy>Kamil Błaut</cp:lastModifiedBy>
  <dcterms:created xsi:type="dcterms:W3CDTF">2015-06-05T18:19:34Z</dcterms:created>
  <dcterms:modified xsi:type="dcterms:W3CDTF">2026-09-28T17:53:52Z</dcterms:modified>
</cp:coreProperties>
</file>